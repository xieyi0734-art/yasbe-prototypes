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pustechcanada-my.sharepoint.com/personal/kate_apustechs_com/Documents/Desktop/YASBe/Whitepaper/"/>
    </mc:Choice>
  </mc:AlternateContent>
  <xr:revisionPtr revIDLastSave="120" documentId="8_{FD1E9D00-4774-430F-803A-79AF0E59E613}" xr6:coauthVersionLast="47" xr6:coauthVersionMax="47" xr10:uidLastSave="{B8CE81FD-17A5-4F55-9D41-3FF6546CBCF9}"/>
  <bookViews>
    <workbookView xWindow="-120" yWindow="-120" windowWidth="29040" windowHeight="17520" xr2:uid="{CA0007AB-4B83-4CEE-9FD1-052AFBC2C0A9}"/>
  </bookViews>
  <sheets>
    <sheet name="YASBee Tokenomic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C8" i="1"/>
  <c r="C23" i="1"/>
  <c r="D21" i="1"/>
  <c r="G14" i="1"/>
  <c r="D12" i="1" l="1"/>
  <c r="G13" i="1"/>
  <c r="D20" i="1"/>
  <c r="D19" i="1"/>
  <c r="D18" i="1"/>
  <c r="D17" i="1"/>
  <c r="D16" i="1"/>
  <c r="D15" i="1"/>
  <c r="D14" i="1"/>
  <c r="D13" i="1"/>
  <c r="I20" i="1" l="1"/>
  <c r="I19" i="1"/>
  <c r="I18" i="1"/>
  <c r="I17" i="1"/>
  <c r="I16" i="1"/>
  <c r="I15" i="1"/>
  <c r="I14" i="1"/>
  <c r="I13" i="1"/>
  <c r="L14" i="1"/>
  <c r="L13" i="1"/>
  <c r="L12" i="1"/>
  <c r="I23" i="1" l="1"/>
  <c r="C5" i="1" s="1"/>
  <c r="C9" i="1"/>
  <c r="C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tc={5D39664F-B1C9-4DB1-9B7A-C5EA6069BEE1}</author>
    <author>tc={4C12360D-1E26-424A-BEE2-85C06A4F567B}</author>
    <author>tc={61594137-CDC7-4983-8620-33D334BAF82C}</author>
    <author>tc={E29E5656-11E4-4E42-990D-6238CBE364AA}</author>
    <author>tc={FEE0FC88-7674-4790-AE69-0159901408C1}</author>
    <author>tc={F3B5321E-E4B2-4297-B06E-234F0A29BBA6}</author>
    <author>tc={3E07280C-7C2F-4F65-8D45-6FBCB0199BC5}</author>
    <author>tc={C5D44FD6-C01B-407F-9FD4-A75D5EB51D99}</author>
    <author>tc={6C59AE44-9488-4C92-972D-0C43E24A8261}</author>
    <author>tc={4B36AEF5-E53F-4D51-BD44-D88A6F9168DF}</author>
  </authors>
  <commentList>
    <comment ref="B7" authorId="0" shapeId="0" xr:uid="{5D39664F-B1C9-4DB1-9B7A-C5EA6069BEE1}">
      <text>
        <t xml:space="preserve">[Threaded comment]
Your version of Excel allows you to read this threaded comment; however, any edits to it will get removed if the file is opened in a newer version of Excel. Learn more: https://go.microsoft.com/fwlink/?linkid=870924
Comment:
    Initial Market Cap = Circulating Supply at TGE × Listing Price </t>
      </text>
    </comment>
    <comment ref="B8" authorId="1" shapeId="0" xr:uid="{4C12360D-1E26-424A-BEE2-85C06A4F567B}">
      <text>
        <t>[Threaded comment]
Your version of Excel allows you to read this threaded comment; however, any edits to it will get removed if the file is opened in a newer version of Excel. Learn more: https://go.microsoft.com/fwlink/?linkid=870924
Comment:
    Fully Diluted Valuation 完全稀释估值</t>
      </text>
    </comment>
    <comment ref="F11" authorId="2" shapeId="0" xr:uid="{61594137-CDC7-4983-8620-33D334BAF82C}">
      <text>
        <t xml:space="preserve">[Threaded comment]
Your version of Excel allows you to read this threaded comment; however, any edits to it will get removed if the file is opened in a newer version of Excel. Learn more: https://go.microsoft.com/fwlink/?linkid=870924
Comment:
    bonuses from User Incentives Pool 
Bonus tokens have same cliff as base , +additional 6 months longer vesting
Example (Seed Bonus):
Cliff: 12m 
Linear: 30m (vs 24m base) 
Prevents early dumping
</t>
      </text>
    </comment>
    <comment ref="F12" authorId="3" shapeId="0" xr:uid="{E29E5656-11E4-4E42-990D-6238CBE364AA}">
      <text>
        <t>[Threaded comment]
Your version of Excel allows you to read this threaded comment; however, any edits to it will get removed if the file is opened in a newer version of Excel. Learn more: https://go.microsoft.com/fwlink/?linkid=870924
Comment:
    From user incentive pool</t>
      </text>
    </comment>
    <comment ref="J12" authorId="4" shapeId="0" xr:uid="{FEE0FC88-7674-4790-AE69-0159901408C1}">
      <text>
        <t>[Threaded comment]
Your version of Excel allows you to read this threaded comment; however, any edits to it will get removed if the file is opened in a newer version of Excel. Learn more: https://go.microsoft.com/fwlink/?linkid=870924
Comment:
    15% bonus token is releases 12m + 6m+1m, i.e., on the 19th month and vesting according to user incentives pool</t>
      </text>
    </comment>
    <comment ref="F13" authorId="5" shapeId="0" xr:uid="{F3B5321E-E4B2-4297-B06E-234F0A29BBA6}">
      <text>
        <t xml:space="preserve">[Threaded comment]
Your version of Excel allows you to read this threaded comment; however, any edits to it will get removed if the file is opened in a newer version of Excel. Learn more: https://go.microsoft.com/fwlink/?linkid=870924
Comment:
    From user incentive pool
</t>
      </text>
    </comment>
    <comment ref="J13" authorId="6" shapeId="0" xr:uid="{3E07280C-7C2F-4F65-8D45-6FBCB0199BC5}">
      <text>
        <t>[Threaded comment]
Your version of Excel allows you to read this threaded comment; however, any edits to it will get removed if the file is opened in a newer version of Excel. Learn more: https://go.microsoft.com/fwlink/?linkid=870924
Comment:
    10% bonus token is releases 9m + 6m+1m, i.e., on the 16th month and vesting according to user incentives pool</t>
      </text>
    </comment>
    <comment ref="F14" authorId="7" shapeId="0" xr:uid="{C5D44FD6-C01B-407F-9FD4-A75D5EB51D99}">
      <text>
        <t xml:space="preserve">[Threaded comment]
Your version of Excel allows you to read this threaded comment; however, any edits to it will get removed if the file is opened in a newer version of Excel. Learn more: https://go.microsoft.com/fwlink/?linkid=870924
Comment:
    From user incentive pool
</t>
      </text>
    </comment>
    <comment ref="J14" authorId="8" shapeId="0" xr:uid="{6C59AE44-9488-4C92-972D-0C43E24A8261}">
      <text>
        <t xml:space="preserve">[Threaded comment]
Your version of Excel allows you to read this threaded comment; however, any edits to it will get removed if the file is opened in a newer version of Excel. Learn more: https://go.microsoft.com/fwlink/?linkid=870924
Comment:
    5% bonus token is releases 0m + 6m+1m, i.e., on the 7th month and vesting according to user incentives pool
</t>
      </text>
    </comment>
    <comment ref="I20" authorId="9" shapeId="0" xr:uid="{4B36AEF5-E53F-4D51-BD44-D88A6F9168DF}">
      <text>
        <t>[Threaded comment]
Your version of Excel allows you to read this threaded comment; however, any edits to it will get removed if the file is opened in a newer version of Excel. Learn more: https://go.microsoft.com/fwlink/?linkid=870924
Comment:
    Required capital $180,000</t>
      </text>
    </comment>
  </commentList>
</comments>
</file>

<file path=xl/sharedStrings.xml><?xml version="1.0" encoding="utf-8"?>
<sst xmlns="http://schemas.openxmlformats.org/spreadsheetml/2006/main" count="69" uniqueCount="56">
  <si>
    <t>#</t>
  </si>
  <si>
    <t>Round</t>
  </si>
  <si>
    <t>%</t>
  </si>
  <si>
    <t>Tokens</t>
  </si>
  <si>
    <t>Sales price</t>
  </si>
  <si>
    <t>TGE</t>
  </si>
  <si>
    <t>TGE token</t>
  </si>
  <si>
    <t>Raise ($)</t>
  </si>
  <si>
    <t>12m</t>
  </si>
  <si>
    <t>24m</t>
  </si>
  <si>
    <t>9m</t>
  </si>
  <si>
    <t>18m</t>
  </si>
  <si>
    <t>-</t>
  </si>
  <si>
    <t>6m</t>
  </si>
  <si>
    <t>Total</t>
  </si>
  <si>
    <t>While all sale rounds are priced at $0.02 per token, earlier participants receive additional token allocations as a participation incentive, reflecting the longer lock-up periods and higher risk exposure.</t>
  </si>
  <si>
    <t>Treasury tokens are not intended for open market sales and are subject to governance controls.</t>
  </si>
  <si>
    <t>Seed 种子</t>
  </si>
  <si>
    <t>Private 私募</t>
  </si>
  <si>
    <t>Public 公募</t>
  </si>
  <si>
    <t>User Incentives 
用户激励</t>
  </si>
  <si>
    <t>Marketing 市场营销</t>
  </si>
  <si>
    <t>Ecosystem 生态合作伙伴</t>
  </si>
  <si>
    <t>Treasury 财库</t>
  </si>
  <si>
    <t>Liquidity/MM 做市</t>
  </si>
  <si>
    <t>Team and Advisor 团队</t>
  </si>
  <si>
    <t>NA</t>
  </si>
  <si>
    <t>Reserved for future buyback-and-burn programs funded by platform revenues, transaction fees and ecosystem growth initiatives. Any token burn requires multisig governance approval and will be publicly verifiable on-chain.</t>
  </si>
  <si>
    <t>Tokens in the Buyback &amp; Burn Reserve may be permanently burned through platform buybacks, funded by platform revenues or strategic ecosystem initiatives. Burns require multisig governance approval and are verifiable on-chain.</t>
  </si>
  <si>
    <t>Bonus tokens are allocated from the User Incentives pool and do not increase total token supply. Bonus tokens are released from the User Incentives pool following full vesting of the recipient's base token allocation.</t>
  </si>
  <si>
    <t>Burn/Optimization Reserve 销毁池</t>
  </si>
  <si>
    <t>Unlock: milestone-based 
根据具体合作协议</t>
  </si>
  <si>
    <t>Use: governance-controlled
根据公司财库管理</t>
  </si>
  <si>
    <t>Remaining: released per exchange expansion
根据上交易所协议</t>
  </si>
  <si>
    <t>Emission: ≤20% per year (controlled release)
每年不多于20%的
释放进度</t>
  </si>
  <si>
    <t>Linear vesting 
线性释放</t>
  </si>
  <si>
    <t>Cliff
锁仓期</t>
  </si>
  <si>
    <t>Actual price
包括奖励后的实际价格</t>
  </si>
  <si>
    <t>Bonus
奖励</t>
  </si>
  <si>
    <t>Strictly for the community/product users (staking, rewards).
严格专用于社区及产品用户（质押、奖励）。</t>
  </si>
  <si>
    <t>Strictly for B2B and infrastructure (partners, cross-chain bridges, institutional liquidity).
严格专用于B2B及基础设施合作（合作伙伴、跨链桥接、机构流动性）。</t>
  </si>
  <si>
    <t>Not for discretionary selling
不得用于自由性出售
Used for 用途:
buyback 回购
liquidity 流动性
partnerships 合作伙伴</t>
  </si>
  <si>
    <t>专项储备用于未来的回购销毁计划，资金来源包括平台收入、交易手续费及生态增长项目。任何代币销毁均须经多签治理投票批准，并可在链上公开查询。</t>
  </si>
  <si>
    <t>所有销售轮次的代币定价均为每枚$0.02，早期参与者将获得额外的代币分配作为参与激励，以反映其更长的锁仓期及更高的风险承担</t>
  </si>
  <si>
    <t>奖励代币从用户激励池中划拨，不增加代币总供应量。奖励代币将在接收方基础代币份额完全解锁后，由用户激励池释放。</t>
  </si>
  <si>
    <t>财库代币不用于公开市场出售，并受治理机制约束。</t>
  </si>
  <si>
    <t>Total Supply
总供应量</t>
  </si>
  <si>
    <t>Base Sale Price ($)
预售价格</t>
  </si>
  <si>
    <t>TGE Price (DEX) ($)
TGE 价格</t>
  </si>
  <si>
    <t>TGE circulation ratio
TGE流通比例</t>
  </si>
  <si>
    <t>Early CEX Target price ($)
早期交易所目标价格</t>
  </si>
  <si>
    <t>Initial Market Cap (IMC) ($)
初始市值</t>
  </si>
  <si>
    <t>Target FDV ($)
目标完全稀释估值</t>
  </si>
  <si>
    <t>Fundraising Target ($)
预售融资目标</t>
  </si>
  <si>
    <t>回购销毁储备中的代币可通过平台回购永久销毁，资金来源为平台收入或战略生态项目。任何销毁操作均须经多签治理批准，并可在链上验证。</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</si>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</sst>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8" formatCode="&quot;$&quot;#,##0.00;[Red]\-&quot;$&quot;#,##0.00"/>
    <numFmt numFmtId="43" formatCode="_-* #,##0.00_-;\-* #,##0.00_-;_-* &quot;-&quot;??_-;_-@_-"/>
    <numFmt numFmtId="164" formatCode="_-* #,##0_-;\-* #,##0_-;_-* &quot;-&quot;??_-;_-@_-"/>
    <numFmt numFmtId="165" formatCode="&quot;$&quot;#,##0.0000;[Red]\-&quot;$&quot;#,##0.0000"/>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3" fontId="0" fillId="0" borderId="1" xfId="0" applyNumberFormat="1" applyBorder="1" applyAlignment="1">
      <alignment horizontal="center" vertical="center" wrapText="1"/>
    </xf>
    <xf numFmtId="8" fontId="0" fillId="0" borderId="1" xfId="0" applyNumberFormat="1" applyBorder="1" applyAlignment="1">
      <alignment horizontal="center" vertical="center" wrapText="1"/>
    </xf>
    <xf numFmtId="10" fontId="0" fillId="0" borderId="1" xfId="2" applyNumberFormat="1" applyFont="1" applyBorder="1" applyAlignment="1">
      <alignment horizontal="center" vertical="center" wrapText="1"/>
    </xf>
    <xf numFmtId="43" fontId="0" fillId="0" borderId="0" xfId="1" applyFont="1" applyAlignment="1">
      <alignment horizontal="center" vertical="center" wrapText="1"/>
    </xf>
    <xf numFmtId="6" fontId="0" fillId="0" borderId="1" xfId="0" applyNumberFormat="1" applyBorder="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0" fillId="0" borderId="1" xfId="0" applyBorder="1" applyAlignment="1">
      <alignment horizontal="center" vertical="center" wrapText="1"/>
    </xf>
    <xf numFmtId="9" fontId="0" fillId="0" borderId="1" xfId="2" applyFont="1" applyBorder="1" applyAlignment="1">
      <alignment horizontal="center" vertical="center" wrapText="1"/>
    </xf>
    <xf numFmtId="164" fontId="0" fillId="0" borderId="1" xfId="1" applyNumberFormat="1" applyFont="1" applyBorder="1" applyAlignment="1">
      <alignment horizontal="center" vertical="center" wrapText="1"/>
    </xf>
    <xf numFmtId="9"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9" fontId="0" fillId="0" borderId="0" xfId="2" applyFont="1"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vertical="center"/>
    </xf>
    <xf numFmtId="8" fontId="0" fillId="0" borderId="0" xfId="0" applyNumberForma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te" id="{EEFFE32C-EB13-49F0-B548-ADBDF86A34F7}" userId="S::kate@apustechs.com::67cba1f0-d88f-4e70-b1a0-f8f77d1edfae" providerId="AD"/>
  <person displayName="Compliance Officer 1 - Apex" id="{7927A272-F650-4DE9-BBAC-4785253D3561}" userId="S::Compliance1@apex-markets.co::22e6271b-505d-40fd-8ea1-66d3c3bae60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7" dT="2026-04-18T06:13:13.64" personId="{7927A272-F650-4DE9-BBAC-4785253D3561}" id="{5D39664F-B1C9-4DB1-9B7A-C5EA6069BEE1}">
    <text xml:space="preserve">Initial Market Cap = Circulating Supply at TGE × Listing Price </text>
  </threadedComment>
  <threadedComment ref="B8" dT="2026-04-18T06:07:18.96" personId="{7927A272-F650-4DE9-BBAC-4785253D3561}" id="{4C12360D-1E26-424A-BEE2-85C06A4F567B}">
    <text>Fully Diluted Valuation 完全稀释估值</text>
  </threadedComment>
  <threadedComment ref="F11" dT="2026-04-18T05:57:50.69" personId="{7927A272-F650-4DE9-BBAC-4785253D3561}" id="{61594137-CDC7-4983-8620-33D334BAF82C}">
    <text xml:space="preserve">bonuses from User Incentives Pool 
Bonus tokens have same cliff as base , +additional 6 months longer vesting
Example (Seed Bonus):
Cliff: 12m 
Linear: 30m (vs 24m base) 
Prevents early dumping
</text>
  </threadedComment>
  <threadedComment ref="F12" dT="2026-06-07T15:35:21.44" personId="{EEFFE32C-EB13-49F0-B548-ADBDF86A34F7}" id="{E29E5656-11E4-4E42-990D-6238CBE364AA}">
    <text>From user incentive pool</text>
  </threadedComment>
  <threadedComment ref="J12" dT="2026-06-07T15:39:35.01" personId="{EEFFE32C-EB13-49F0-B548-ADBDF86A34F7}" id="{FEE0FC88-7674-4790-AE69-0159901408C1}">
    <text>15% bonus token is releases 12m + 6m+1m, i.e., on the 19th month and vesting according to user incentives pool</text>
  </threadedComment>
  <threadedComment ref="F13" dT="2026-06-07T15:35:24.43" personId="{EEFFE32C-EB13-49F0-B548-ADBDF86A34F7}" id="{F3B5321E-E4B2-4297-B06E-234F0A29BBA6}">
    <text xml:space="preserve">From user incentive pool
</text>
  </threadedComment>
  <threadedComment ref="J13" dT="2026-06-07T15:40:26.68" personId="{EEFFE32C-EB13-49F0-B548-ADBDF86A34F7}" id="{3E07280C-7C2F-4F65-8D45-6FBCB0199BC5}">
    <text>10% bonus token is releases 9m + 6m+1m, i.e., on the 16th month and vesting according to user incentives pool</text>
  </threadedComment>
  <threadedComment ref="F14" dT="2026-06-07T15:35:28.63" personId="{EEFFE32C-EB13-49F0-B548-ADBDF86A34F7}" id="{C5D44FD6-C01B-407F-9FD4-A75D5EB51D99}">
    <text xml:space="preserve">From user incentive pool
</text>
  </threadedComment>
  <threadedComment ref="J14" dT="2026-06-07T15:40:49.11" personId="{EEFFE32C-EB13-49F0-B548-ADBDF86A34F7}" id="{6C59AE44-9488-4C92-972D-0C43E24A8261}">
    <text xml:space="preserve">5% bonus token is releases 0m + 6m+1m, i.e., on the 7th month and vesting according to user incentives pool
</text>
  </threadedComment>
  <threadedComment ref="I20" dT="2026-04-18T06:05:25.03" personId="{7927A272-F650-4DE9-BBAC-4785253D3561}" id="{4B36AEF5-E53F-4D51-BD44-D88A6F9168DF}">
    <text>Required capital $180,000</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FD726-058D-463D-994A-4D455C881BE1}">
  <dimension ref="A1:N36"/>
  <sheetViews>
    <sheetView tabSelected="1" topLeftCell="A7" zoomScale="115" zoomScaleNormal="115" workbookViewId="0">
      <selection activeCell="I12" sqref="I12"/>
    </sheetView>
  </sheetViews>
  <sheetFormatPr defaultRowHeight="15" x14ac:dyDescent="0.25"/>
  <cols>
    <col min="1" max="1" width="3.42578125" style="2" bestFit="1" customWidth="1"/>
    <col min="2" max="2" width="26.140625" style="2" customWidth="1"/>
    <col min="3" max="3" width="14.85546875" style="2" bestFit="1" customWidth="1"/>
    <col min="4" max="4" width="14.7109375" style="2" bestFit="1" customWidth="1"/>
    <col min="5" max="5" width="12.28515625" style="2" customWidth="1"/>
    <col min="6" max="6" width="10.5703125" style="2" customWidth="1"/>
    <col min="7" max="7" width="13.85546875" style="2" customWidth="1"/>
    <col min="8" max="8" width="9.140625" style="2"/>
    <col min="9" max="9" width="11.5703125" style="2" bestFit="1" customWidth="1"/>
    <col min="10" max="10" width="9.140625" style="2"/>
    <col min="11" max="11" width="19.85546875" style="2" customWidth="1"/>
    <col min="12" max="12" width="11.5703125" style="2" bestFit="1" customWidth="1"/>
    <col min="13" max="13" width="30.28515625" style="1" customWidth="1"/>
    <col min="14" max="14" width="31.42578125" style="1" customWidth="1"/>
    <col min="15" max="16384" width="9.140625" style="1"/>
  </cols>
  <sheetData>
    <row r="1" spans="1:13" ht="7.5" customHeight="1" x14ac:dyDescent="0.25"/>
    <row r="2" spans="1:13" ht="30" x14ac:dyDescent="0.25">
      <c r="B2" s="3" t="s">
        <v>46</v>
      </c>
      <c r="C2" s="4">
        <v>500000000</v>
      </c>
    </row>
    <row r="3" spans="1:13" ht="30" x14ac:dyDescent="0.25">
      <c r="B3" s="3" t="s">
        <v>47</v>
      </c>
      <c r="C3" s="5">
        <v>0.02</v>
      </c>
    </row>
    <row r="4" spans="1:13" ht="30" x14ac:dyDescent="0.25">
      <c r="B4" s="3" t="s">
        <v>48</v>
      </c>
      <c r="C4" s="5">
        <v>0.03</v>
      </c>
    </row>
    <row r="5" spans="1:13" ht="30" x14ac:dyDescent="0.25">
      <c r="B5" s="3" t="s">
        <v>49</v>
      </c>
      <c r="C5" s="6">
        <f>I23/C2</f>
        <v>6.4100000000000004E-2</v>
      </c>
      <c r="D5" s="7"/>
    </row>
    <row r="6" spans="1:13" ht="30" x14ac:dyDescent="0.25">
      <c r="B6" s="3" t="s">
        <v>50</v>
      </c>
      <c r="C6" s="5">
        <v>0.04</v>
      </c>
    </row>
    <row r="7" spans="1:13" ht="30" x14ac:dyDescent="0.25">
      <c r="B7" s="3" t="s">
        <v>51</v>
      </c>
      <c r="C7" s="8">
        <f>I23*C4</f>
        <v>961500</v>
      </c>
    </row>
    <row r="8" spans="1:13" ht="30" x14ac:dyDescent="0.25">
      <c r="B8" s="3" t="s">
        <v>52</v>
      </c>
      <c r="C8" s="8">
        <f>C2*C4</f>
        <v>15000000</v>
      </c>
    </row>
    <row r="9" spans="1:13" ht="30" x14ac:dyDescent="0.25">
      <c r="B9" s="3" t="s">
        <v>53</v>
      </c>
      <c r="C9" s="17">
        <f>SUM(L12:L14)</f>
        <v>2000000</v>
      </c>
    </row>
    <row r="10" spans="1:13" ht="6" customHeight="1" x14ac:dyDescent="0.25"/>
    <row r="11" spans="1:13" s="11" customFormat="1" ht="45" x14ac:dyDescent="0.25">
      <c r="A11" s="9" t="s">
        <v>0</v>
      </c>
      <c r="B11" s="9" t="s">
        <v>1</v>
      </c>
      <c r="C11" s="9" t="s">
        <v>2</v>
      </c>
      <c r="D11" s="9" t="s">
        <v>3</v>
      </c>
      <c r="E11" s="9" t="s">
        <v>4</v>
      </c>
      <c r="F11" s="9" t="s">
        <v>38</v>
      </c>
      <c r="G11" s="9" t="s">
        <v>37</v>
      </c>
      <c r="H11" s="9" t="s">
        <v>5</v>
      </c>
      <c r="I11" s="9" t="s">
        <v>6</v>
      </c>
      <c r="J11" s="9" t="s">
        <v>36</v>
      </c>
      <c r="K11" s="9" t="s">
        <v>35</v>
      </c>
      <c r="L11" s="9" t="s">
        <v>7</v>
      </c>
      <c r="M11" s="10"/>
    </row>
    <row r="12" spans="1:13" ht="18" customHeight="1" x14ac:dyDescent="0.25">
      <c r="A12" s="12">
        <v>1</v>
      </c>
      <c r="B12" s="12" t="s">
        <v>17</v>
      </c>
      <c r="C12" s="13">
        <v>0.05</v>
      </c>
      <c r="D12" s="14">
        <f>C12*$C$2</f>
        <v>25000000</v>
      </c>
      <c r="E12" s="5">
        <v>0.02</v>
      </c>
      <c r="F12" s="15">
        <v>0.15</v>
      </c>
      <c r="G12" s="16">
        <f>E12/(1+F12)</f>
        <v>1.7391304347826087E-2</v>
      </c>
      <c r="H12" s="13">
        <v>0</v>
      </c>
      <c r="I12" s="12">
        <v>0</v>
      </c>
      <c r="J12" s="12" t="s">
        <v>8</v>
      </c>
      <c r="K12" s="12" t="s">
        <v>9</v>
      </c>
      <c r="L12" s="14">
        <f>D12*E12</f>
        <v>500000</v>
      </c>
    </row>
    <row r="13" spans="1:13" ht="17.25" customHeight="1" x14ac:dyDescent="0.25">
      <c r="A13" s="12">
        <v>2</v>
      </c>
      <c r="B13" s="12" t="s">
        <v>18</v>
      </c>
      <c r="C13" s="13">
        <v>0.1</v>
      </c>
      <c r="D13" s="14">
        <f t="shared" ref="D13:D21" si="0">C13*$C$2</f>
        <v>50000000</v>
      </c>
      <c r="E13" s="5">
        <v>0.02</v>
      </c>
      <c r="F13" s="15">
        <v>0.1</v>
      </c>
      <c r="G13" s="16">
        <f t="shared" ref="G13" si="1">E13/(1+F13)</f>
        <v>1.8181818181818181E-2</v>
      </c>
      <c r="H13" s="13">
        <v>0.05</v>
      </c>
      <c r="I13" s="17">
        <f t="shared" ref="I13:I20" si="2">D13*H13</f>
        <v>2500000</v>
      </c>
      <c r="J13" s="12" t="s">
        <v>10</v>
      </c>
      <c r="K13" s="12" t="s">
        <v>11</v>
      </c>
      <c r="L13" s="14">
        <f>D13*E13</f>
        <v>1000000</v>
      </c>
    </row>
    <row r="14" spans="1:13" ht="20.25" customHeight="1" x14ac:dyDescent="0.25">
      <c r="A14" s="12">
        <v>3</v>
      </c>
      <c r="B14" s="12" t="s">
        <v>19</v>
      </c>
      <c r="C14" s="13">
        <v>0.05</v>
      </c>
      <c r="D14" s="14">
        <f t="shared" si="0"/>
        <v>25000000</v>
      </c>
      <c r="E14" s="5">
        <v>0.02</v>
      </c>
      <c r="F14" s="15">
        <v>0.05</v>
      </c>
      <c r="G14" s="16">
        <f>E14/(1+F14)</f>
        <v>1.9047619047619046E-2</v>
      </c>
      <c r="H14" s="13">
        <v>0.08</v>
      </c>
      <c r="I14" s="17">
        <f t="shared" si="2"/>
        <v>2000000</v>
      </c>
      <c r="J14" s="12">
        <v>0</v>
      </c>
      <c r="K14" s="12" t="s">
        <v>8</v>
      </c>
      <c r="L14" s="14">
        <f>D14*E14</f>
        <v>500000</v>
      </c>
    </row>
    <row r="15" spans="1:13" ht="75" x14ac:dyDescent="0.25">
      <c r="A15" s="12">
        <v>4</v>
      </c>
      <c r="B15" s="12" t="s">
        <v>20</v>
      </c>
      <c r="C15" s="13">
        <v>0.22</v>
      </c>
      <c r="D15" s="14">
        <f>C15*$C$2</f>
        <v>110000000</v>
      </c>
      <c r="E15" s="12" t="s">
        <v>12</v>
      </c>
      <c r="F15" s="15">
        <v>0</v>
      </c>
      <c r="G15" s="16"/>
      <c r="H15" s="13">
        <v>0.08</v>
      </c>
      <c r="I15" s="17">
        <f t="shared" si="2"/>
        <v>8800000</v>
      </c>
      <c r="J15" s="12" t="s">
        <v>13</v>
      </c>
      <c r="K15" s="12" t="s">
        <v>34</v>
      </c>
      <c r="L15" s="12"/>
      <c r="M15" s="1" t="s">
        <v>39</v>
      </c>
    </row>
    <row r="16" spans="1:13" ht="22.5" customHeight="1" x14ac:dyDescent="0.25">
      <c r="A16" s="12">
        <v>5</v>
      </c>
      <c r="B16" s="12" t="s">
        <v>21</v>
      </c>
      <c r="C16" s="13">
        <v>0.12</v>
      </c>
      <c r="D16" s="14">
        <f t="shared" si="0"/>
        <v>60000000</v>
      </c>
      <c r="E16" s="12" t="s">
        <v>12</v>
      </c>
      <c r="F16" s="15">
        <v>0</v>
      </c>
      <c r="G16" s="16"/>
      <c r="H16" s="13">
        <v>0.1</v>
      </c>
      <c r="I16" s="17">
        <f t="shared" si="2"/>
        <v>6000000</v>
      </c>
      <c r="J16" s="12" t="s">
        <v>13</v>
      </c>
      <c r="K16" s="12" t="s">
        <v>11</v>
      </c>
      <c r="L16" s="12"/>
    </row>
    <row r="17" spans="1:14" ht="105" x14ac:dyDescent="0.25">
      <c r="A17" s="12">
        <v>6</v>
      </c>
      <c r="B17" s="12" t="s">
        <v>22</v>
      </c>
      <c r="C17" s="13">
        <v>0.1</v>
      </c>
      <c r="D17" s="14">
        <f t="shared" si="0"/>
        <v>50000000</v>
      </c>
      <c r="E17" s="12" t="s">
        <v>12</v>
      </c>
      <c r="F17" s="15">
        <v>0</v>
      </c>
      <c r="G17" s="16"/>
      <c r="H17" s="13">
        <v>0</v>
      </c>
      <c r="I17" s="17">
        <f t="shared" si="2"/>
        <v>0</v>
      </c>
      <c r="J17" s="12" t="s">
        <v>13</v>
      </c>
      <c r="K17" s="12" t="s">
        <v>31</v>
      </c>
      <c r="L17" s="12"/>
      <c r="M17" s="1" t="s">
        <v>40</v>
      </c>
    </row>
    <row r="18" spans="1:14" ht="22.5" customHeight="1" x14ac:dyDescent="0.25">
      <c r="A18" s="12">
        <v>7</v>
      </c>
      <c r="B18" s="12" t="s">
        <v>25</v>
      </c>
      <c r="C18" s="13">
        <v>0.15</v>
      </c>
      <c r="D18" s="14">
        <f t="shared" si="0"/>
        <v>75000000</v>
      </c>
      <c r="E18" s="12" t="s">
        <v>12</v>
      </c>
      <c r="F18" s="15">
        <v>0</v>
      </c>
      <c r="G18" s="16"/>
      <c r="H18" s="13">
        <v>0</v>
      </c>
      <c r="I18" s="17">
        <f t="shared" si="2"/>
        <v>0</v>
      </c>
      <c r="J18" s="12" t="s">
        <v>8</v>
      </c>
      <c r="K18" s="12" t="s">
        <v>9</v>
      </c>
      <c r="L18" s="12"/>
    </row>
    <row r="19" spans="1:14" ht="90" x14ac:dyDescent="0.25">
      <c r="A19" s="12">
        <v>8</v>
      </c>
      <c r="B19" s="12" t="s">
        <v>23</v>
      </c>
      <c r="C19" s="13">
        <v>0.09</v>
      </c>
      <c r="D19" s="14">
        <f t="shared" si="0"/>
        <v>45000000</v>
      </c>
      <c r="E19" s="12" t="s">
        <v>12</v>
      </c>
      <c r="F19" s="15">
        <v>0</v>
      </c>
      <c r="G19" s="16"/>
      <c r="H19" s="13">
        <v>0.05</v>
      </c>
      <c r="I19" s="17">
        <f t="shared" si="2"/>
        <v>2250000</v>
      </c>
      <c r="J19" s="12" t="s">
        <v>9</v>
      </c>
      <c r="K19" s="12" t="s">
        <v>32</v>
      </c>
      <c r="L19" s="12"/>
      <c r="M19" s="1" t="s">
        <v>41</v>
      </c>
    </row>
    <row r="20" spans="1:14" ht="60" x14ac:dyDescent="0.25">
      <c r="A20" s="12">
        <v>9</v>
      </c>
      <c r="B20" s="12" t="s">
        <v>24</v>
      </c>
      <c r="C20" s="13">
        <v>7.0000000000000007E-2</v>
      </c>
      <c r="D20" s="14">
        <f t="shared" si="0"/>
        <v>35000000</v>
      </c>
      <c r="E20" s="12" t="s">
        <v>12</v>
      </c>
      <c r="F20" s="15">
        <v>0</v>
      </c>
      <c r="G20" s="16"/>
      <c r="H20" s="13">
        <v>0.3</v>
      </c>
      <c r="I20" s="17">
        <f t="shared" si="2"/>
        <v>10500000</v>
      </c>
      <c r="J20" s="12">
        <v>0</v>
      </c>
      <c r="K20" s="12" t="s">
        <v>33</v>
      </c>
      <c r="L20" s="12"/>
    </row>
    <row r="21" spans="1:14" ht="120" x14ac:dyDescent="0.25">
      <c r="A21" s="12">
        <v>10</v>
      </c>
      <c r="B21" s="12" t="s">
        <v>30</v>
      </c>
      <c r="C21" s="13">
        <v>0.05</v>
      </c>
      <c r="D21" s="14">
        <f t="shared" si="0"/>
        <v>25000000</v>
      </c>
      <c r="E21" s="12"/>
      <c r="F21" s="15">
        <v>0</v>
      </c>
      <c r="G21" s="12"/>
      <c r="H21" s="12">
        <v>0</v>
      </c>
      <c r="I21" s="12">
        <v>0</v>
      </c>
      <c r="J21" s="12" t="s">
        <v>26</v>
      </c>
      <c r="K21" s="12" t="s">
        <v>26</v>
      </c>
      <c r="L21" s="12"/>
      <c r="M21" s="1" t="s">
        <v>27</v>
      </c>
      <c r="N21" s="1" t="s">
        <v>42</v>
      </c>
    </row>
    <row r="23" spans="1:14" x14ac:dyDescent="0.25">
      <c r="B23" s="2" t="s">
        <v>14</v>
      </c>
      <c r="C23" s="18">
        <f>SUM(C12:C21)</f>
        <v>1</v>
      </c>
      <c r="D23" s="19"/>
      <c r="I23" s="19">
        <f>SUM(I12:I20)</f>
        <v>32050000</v>
      </c>
      <c r="M23"/>
    </row>
    <row r="25" spans="1:14" x14ac:dyDescent="0.25">
      <c r="B25" s="20" t="s">
        <v>15</v>
      </c>
      <c r="D25" s="21"/>
    </row>
    <row r="26" spans="1:14" x14ac:dyDescent="0.25">
      <c r="B26" s="20" t="s">
        <v>43</v>
      </c>
      <c r="D26" s="21"/>
    </row>
    <row r="27" spans="1:14" x14ac:dyDescent="0.25">
      <c r="B27" s="20"/>
      <c r="D27" s="21"/>
    </row>
    <row r="28" spans="1:14" x14ac:dyDescent="0.25">
      <c r="B28" s="20" t="s">
        <v>29</v>
      </c>
    </row>
    <row r="29" spans="1:14" x14ac:dyDescent="0.25">
      <c r="B29" t="s">
        <v>44</v>
      </c>
    </row>
    <row r="30" spans="1:14" x14ac:dyDescent="0.25">
      <c r="B30"/>
    </row>
    <row r="31" spans="1:14" x14ac:dyDescent="0.25">
      <c r="B31" s="20" t="s">
        <v>16</v>
      </c>
    </row>
    <row r="32" spans="1:14" x14ac:dyDescent="0.25">
      <c r="B32" s="20" t="s">
        <v>45</v>
      </c>
    </row>
    <row r="33" spans="2:2" x14ac:dyDescent="0.25">
      <c r="B33" s="20"/>
    </row>
    <row r="34" spans="2:2" s="22" customFormat="1" x14ac:dyDescent="0.25">
      <c r="B34" s="23" t="s">
        <v>28</v>
      </c>
    </row>
    <row r="35" spans="2:2" x14ac:dyDescent="0.25">
      <c r="B35" s="23" t="s">
        <v>54</v>
      </c>
    </row>
    <row r="36" spans="2:2" x14ac:dyDescent="0.25">
      <c r="B36" s="2" t="s">
        <v>55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YASBee Tokenomics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Officer 1 - Apex</dc:creator>
  <cp:lastModifiedBy>Kate</cp:lastModifiedBy>
  <dcterms:created xsi:type="dcterms:W3CDTF">2026-04-18T06:37:13Z</dcterms:created>
  <dcterms:modified xsi:type="dcterms:W3CDTF">2026-06-07T15:59:31Z</dcterms:modified>
</cp:coreProperties>
</file>